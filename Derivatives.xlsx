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Finance_Files\"/>
    </mc:Choice>
  </mc:AlternateContent>
  <xr:revisionPtr revIDLastSave="0" documentId="13_ncr:1_{391D48F2-4266-4FD5-90E6-C0F01F53A03D}" xr6:coauthVersionLast="47" xr6:coauthVersionMax="47" xr10:uidLastSave="{00000000-0000-0000-0000-000000000000}"/>
  <bookViews>
    <workbookView xWindow="-23148" yWindow="-108" windowWidth="23256" windowHeight="12456" tabRatio="666" activeTab="3" xr2:uid="{00000000-000D-0000-FFFF-FFFF00000000}"/>
  </bookViews>
  <sheets>
    <sheet name="Call_Put_Example" sheetId="1" r:id="rId1"/>
    <sheet name="Interest_Rate_Swaps" sheetId="2" r:id="rId2"/>
    <sheet name="Forward_Rate_Agreement" sheetId="4" r:id="rId3"/>
    <sheet name="Greeks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4" l="1"/>
  <c r="D9" i="4"/>
  <c r="D10" i="4" s="1"/>
  <c r="E9" i="2"/>
  <c r="F9" i="2" s="1"/>
  <c r="E8" i="2"/>
  <c r="F8" i="2" s="1"/>
  <c r="E7" i="2"/>
  <c r="F7" i="2" s="1"/>
  <c r="I6" i="2"/>
  <c r="J6" i="2" s="1"/>
  <c r="J10" i="2" s="1"/>
  <c r="E6" i="2"/>
  <c r="F6" i="2" s="1"/>
  <c r="K12" i="1"/>
  <c r="J11" i="1"/>
  <c r="K11" i="1" s="1"/>
  <c r="K9" i="1"/>
  <c r="J8" i="1"/>
  <c r="K8" i="1" s="1"/>
  <c r="K6" i="1"/>
  <c r="K5" i="1"/>
  <c r="J3" i="1"/>
  <c r="J2" i="1"/>
  <c r="K2" i="1" s="1"/>
  <c r="F10" i="2" l="1"/>
  <c r="B14" i="2" s="1"/>
  <c r="B13" i="2"/>
</calcChain>
</file>

<file path=xl/sharedStrings.xml><?xml version="1.0" encoding="utf-8"?>
<sst xmlns="http://schemas.openxmlformats.org/spreadsheetml/2006/main" count="98" uniqueCount="69">
  <si>
    <t>Apple</t>
  </si>
  <si>
    <t>Action</t>
  </si>
  <si>
    <t>Buy</t>
  </si>
  <si>
    <t>Call / Put</t>
  </si>
  <si>
    <t>Strike Price</t>
  </si>
  <si>
    <t>Premium 
per contract</t>
  </si>
  <si>
    <t>Total Shares</t>
  </si>
  <si>
    <t xml:space="preserve">Share Name </t>
  </si>
  <si>
    <t>Profit/Loss 
per share</t>
  </si>
  <si>
    <t>10 Calls</t>
  </si>
  <si>
    <t>Sell</t>
  </si>
  <si>
    <t>Total Profit/Loss</t>
  </si>
  <si>
    <t>10 Puts</t>
  </si>
  <si>
    <t>Market Price 
when exercise</t>
  </si>
  <si>
    <t>Premium (+ or -)</t>
  </si>
  <si>
    <t>Notional Principal</t>
  </si>
  <si>
    <t>Annual Fixed Rate</t>
  </si>
  <si>
    <t>Floating Rate</t>
  </si>
  <si>
    <t>Fixed Rate Bond</t>
  </si>
  <si>
    <t>Floating Rate Bond</t>
  </si>
  <si>
    <t>Treasury Curve</t>
  </si>
  <si>
    <t>Time (Years)</t>
  </si>
  <si>
    <t>Cash Flow</t>
  </si>
  <si>
    <t>Present Value</t>
  </si>
  <si>
    <t>Interest Rate</t>
  </si>
  <si>
    <t>Swap Position</t>
  </si>
  <si>
    <t>Value</t>
  </si>
  <si>
    <t>Value to pay Fixed, 
receive float side.</t>
  </si>
  <si>
    <t>Value to receive Fixed, 
pay float side.</t>
  </si>
  <si>
    <t>Y</t>
  </si>
  <si>
    <t>N</t>
  </si>
  <si>
    <t>There is no CF after Ist as floating rate bond re-prices itself to par at each coupon date.</t>
  </si>
  <si>
    <t xml:space="preserve">Notional </t>
  </si>
  <si>
    <t xml:space="preserve">Rate </t>
  </si>
  <si>
    <t>3 * 6 months</t>
  </si>
  <si>
    <t>Right &amp; Obligation</t>
  </si>
  <si>
    <t>After 3 months</t>
  </si>
  <si>
    <t>90 days LIBOR = 7%</t>
  </si>
  <si>
    <t>Profit in %</t>
  </si>
  <si>
    <t>Profit in USD</t>
  </si>
  <si>
    <t>Step 1</t>
  </si>
  <si>
    <t>Step 2</t>
  </si>
  <si>
    <t>Step 3</t>
  </si>
  <si>
    <t>Profit for 3 months</t>
  </si>
  <si>
    <t>Step 4</t>
  </si>
  <si>
    <t>FRA (Loan starts in 90 days for 90 days)</t>
  </si>
  <si>
    <t>Loan Terms</t>
  </si>
  <si>
    <t>PV of $2500</t>
  </si>
  <si>
    <t>Greek Name</t>
  </si>
  <si>
    <t>Delta</t>
  </si>
  <si>
    <t>Gamma</t>
  </si>
  <si>
    <t>Values</t>
  </si>
  <si>
    <t>Theta</t>
  </si>
  <si>
    <t>Vega</t>
  </si>
  <si>
    <t>RHO</t>
  </si>
  <si>
    <t>Description</t>
  </si>
  <si>
    <t>Example</t>
  </si>
  <si>
    <t>.4 Call Option Delta means the stock has a 40% probability of being ITM.</t>
  </si>
  <si>
    <t>Change in the option price 
for $1 change in the stock price.</t>
  </si>
  <si>
    <t>0 to 1 for Call
-1 to 0 for Put</t>
  </si>
  <si>
    <t>Gamma represents the rate of change between an option's delta and the underlying asset's price.</t>
  </si>
  <si>
    <t>Higher gamma values indicate that delta could change dramatically in response to even small movements in the underlying's price. Gamma is higher for options that are at-the-money and lower for options that are in- and out-of-the-money and accelerates in magnitude as expiration approaches.</t>
  </si>
  <si>
    <t xml:space="preserve">Theta indicates the amount an option's price would decrease as the time to expiration decreases.                                       </t>
  </si>
  <si>
    <t>Theta increases when options are at-the-money, and decreases when options are ITM and OTM money. Options closer to expiration also have accelerating time decay.</t>
  </si>
  <si>
    <t xml:space="preserve">Vega indicates the amount an option's price changes given a 1% change in implied volatility. </t>
  </si>
  <si>
    <t>A rise in volatility will correspondingly increase the value of an option. Vega is at its maximum for at-the-money options that have longer times until expiration.</t>
  </si>
  <si>
    <t xml:space="preserve">Rho (ρ) represents the rate of change between an option's value and a 1% change in the interest rate. </t>
  </si>
  <si>
    <t>Assume a call option has a rho of 0.05 and a price of $1.25. If interest rates rise by 1%, the value of the call option would increase to $1.30.</t>
  </si>
  <si>
    <t>Buyer 
Exercise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</si>
</sst>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[$$-409]* #,##0.00_);_([$$-409]* \(#,##0.00\);_([$$-409]* &quot;-&quot;??_);_(@_)"/>
    <numFmt numFmtId="165" formatCode="_([$$-409]* #,##0_);_([$$-409]* \(#,##0\);_([$$-409]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1" xfId="0" applyFont="1" applyFill="1" applyBorder="1"/>
    <xf numFmtId="6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8" fontId="0" fillId="0" borderId="1" xfId="0" applyNumberFormat="1" applyBorder="1"/>
    <xf numFmtId="0" fontId="0" fillId="0" borderId="2" xfId="0" applyBorder="1"/>
    <xf numFmtId="0" fontId="0" fillId="0" borderId="3" xfId="0" applyBorder="1"/>
    <xf numFmtId="8" fontId="1" fillId="3" borderId="4" xfId="0" applyNumberFormat="1" applyFont="1" applyFill="1" applyBorder="1"/>
    <xf numFmtId="0" fontId="0" fillId="0" borderId="1" xfId="0" applyBorder="1" applyAlignment="1">
      <alignment wrapText="1"/>
    </xf>
    <xf numFmtId="8" fontId="0" fillId="0" borderId="1" xfId="0" applyNumberFormat="1" applyBorder="1" applyAlignment="1">
      <alignment horizontal="center"/>
    </xf>
    <xf numFmtId="0" fontId="1" fillId="2" borderId="1" xfId="0" applyFont="1" applyFill="1" applyBorder="1"/>
    <xf numFmtId="9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/>
    </xf>
    <xf numFmtId="9" fontId="0" fillId="0" borderId="1" xfId="0" applyNumberFormat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5" fontId="0" fillId="0" borderId="1" xfId="1" applyNumberFormat="1" applyFont="1" applyBorder="1" applyAlignment="1">
      <alignment horizontal="righ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Interest_Rate_Swaps!$B$6</c:f>
              <c:strCache>
                <c:ptCount val="1"/>
                <c:pt idx="0">
                  <c:v>Interest 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Interest_Rate_Swaps!$A$7:$A$10</c:f>
              <c:numCache>
                <c:formatCode>General</c:formatCode>
                <c:ptCount val="4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</c:numCache>
            </c:numRef>
          </c:xVal>
          <c:yVal>
            <c:numRef>
              <c:f>Interest_Rate_Swaps!$B$7:$B$10</c:f>
              <c:numCache>
                <c:formatCode>0.00%</c:formatCode>
                <c:ptCount val="4"/>
                <c:pt idx="0">
                  <c:v>0.03</c:v>
                </c:pt>
                <c:pt idx="1">
                  <c:v>0.04</c:v>
                </c:pt>
                <c:pt idx="2">
                  <c:v>0.04</c:v>
                </c:pt>
                <c:pt idx="3">
                  <c:v>4.4999999999999998E-2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80-4380-A616-D91E41911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536431"/>
        <c:axId val="1618862255"/>
      </c:scatterChart>
      <c:valAx>
        <c:axId val="1510536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62255"/>
        <c:crosses val="autoZero"/>
        <c:crossBetween val="midCat"/>
      </c:valAx>
      <c:valAx>
        <c:axId val="161886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536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436</xdr:colOff>
      <xdr:row>12</xdr:row>
      <xdr:rowOff>6157</xdr:rowOff>
    </xdr:from>
    <xdr:to>
      <xdr:col>8</xdr:col>
      <xdr:colOff>849923</xdr:colOff>
      <xdr:row>22</xdr:row>
      <xdr:rowOff>14654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CCC535-3A62-441B-A6C3-EBA26CB12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zoomScale="130" zoomScaleNormal="130" workbookViewId="0">
      <selection activeCell="C19" sqref="C19"/>
    </sheetView>
  </sheetViews>
  <sheetFormatPr defaultRowHeight="14.4" x14ac:dyDescent="0.3"/>
  <cols>
    <col min="1" max="1" width="11.6640625" bestFit="1" customWidth="1"/>
    <col min="2" max="2" width="6.5546875" style="1" bestFit="1" customWidth="1"/>
    <col min="3" max="3" width="8.77734375" style="1" bestFit="1" customWidth="1"/>
    <col min="4" max="4" width="10.6640625" style="1" bestFit="1" customWidth="1"/>
    <col min="5" max="5" width="11.33203125" style="1" bestFit="1" customWidth="1"/>
    <col min="6" max="6" width="14.6640625" style="1" customWidth="1"/>
    <col min="7" max="7" width="13.33203125" bestFit="1" customWidth="1"/>
    <col min="8" max="8" width="13" bestFit="1" customWidth="1"/>
    <col min="9" max="9" width="10.21875" bestFit="1" customWidth="1"/>
    <col min="10" max="10" width="11.33203125" customWidth="1"/>
    <col min="11" max="11" width="15.109375" bestFit="1" customWidth="1"/>
  </cols>
  <sheetData>
    <row r="1" spans="1:11" s="8" customFormat="1" ht="28.8" x14ac:dyDescent="0.3">
      <c r="A1" s="6" t="s">
        <v>7</v>
      </c>
      <c r="B1" s="6" t="s">
        <v>1</v>
      </c>
      <c r="C1" s="6" t="s">
        <v>3</v>
      </c>
      <c r="D1" s="6" t="s">
        <v>4</v>
      </c>
      <c r="E1" s="7" t="s">
        <v>5</v>
      </c>
      <c r="F1" s="7" t="s">
        <v>14</v>
      </c>
      <c r="G1" s="7" t="s">
        <v>13</v>
      </c>
      <c r="H1" s="7" t="s">
        <v>68</v>
      </c>
      <c r="I1" s="7" t="s">
        <v>8</v>
      </c>
      <c r="J1" s="6" t="s">
        <v>6</v>
      </c>
      <c r="K1" s="6" t="s">
        <v>11</v>
      </c>
    </row>
    <row r="2" spans="1:11" s="5" customFormat="1" x14ac:dyDescent="0.3">
      <c r="A2" s="4" t="s">
        <v>0</v>
      </c>
      <c r="B2" s="4" t="s">
        <v>2</v>
      </c>
      <c r="C2" s="4" t="s">
        <v>9</v>
      </c>
      <c r="D2" s="4">
        <v>200</v>
      </c>
      <c r="E2" s="4">
        <v>10</v>
      </c>
      <c r="F2" s="4">
        <v>-100</v>
      </c>
      <c r="G2" s="4">
        <v>210</v>
      </c>
      <c r="H2" s="4" t="s">
        <v>29</v>
      </c>
      <c r="I2" s="4">
        <v>10</v>
      </c>
      <c r="J2" s="4">
        <f>10 * 100</f>
        <v>1000</v>
      </c>
      <c r="K2" s="4">
        <f>J2*I2 - (-F2)</f>
        <v>9900</v>
      </c>
    </row>
    <row r="3" spans="1:11" x14ac:dyDescent="0.3">
      <c r="A3" s="3" t="s">
        <v>0</v>
      </c>
      <c r="B3" s="3" t="s">
        <v>2</v>
      </c>
      <c r="C3" s="3" t="s">
        <v>9</v>
      </c>
      <c r="D3" s="3">
        <v>200</v>
      </c>
      <c r="E3" s="3">
        <v>10</v>
      </c>
      <c r="F3" s="4">
        <v>-100</v>
      </c>
      <c r="G3" s="3">
        <v>199</v>
      </c>
      <c r="H3" s="4" t="s">
        <v>30</v>
      </c>
      <c r="I3" s="3">
        <v>0</v>
      </c>
      <c r="J3" s="3">
        <f>10 * 100</f>
        <v>1000</v>
      </c>
      <c r="K3" s="3">
        <v>-100</v>
      </c>
    </row>
    <row r="4" spans="1:11" x14ac:dyDescent="0.3">
      <c r="A4" s="2"/>
      <c r="B4" s="3"/>
      <c r="C4" s="3"/>
      <c r="D4" s="3"/>
      <c r="E4" s="3"/>
      <c r="F4" s="3"/>
      <c r="G4" s="2"/>
      <c r="H4" s="2"/>
      <c r="I4" s="2"/>
      <c r="J4" s="2"/>
      <c r="K4" s="2"/>
    </row>
    <row r="5" spans="1:11" x14ac:dyDescent="0.3">
      <c r="A5" s="3" t="s">
        <v>0</v>
      </c>
      <c r="B5" s="3" t="s">
        <v>10</v>
      </c>
      <c r="C5" s="3" t="s">
        <v>9</v>
      </c>
      <c r="D5" s="3">
        <v>200</v>
      </c>
      <c r="E5" s="3">
        <v>25</v>
      </c>
      <c r="F5" s="4">
        <v>250</v>
      </c>
      <c r="G5" s="3">
        <v>210</v>
      </c>
      <c r="H5" s="4" t="s">
        <v>29</v>
      </c>
      <c r="I5" s="3">
        <v>-10</v>
      </c>
      <c r="J5" s="3">
        <v>1000</v>
      </c>
      <c r="K5" s="3">
        <f>I5*J5 + F5</f>
        <v>-9750</v>
      </c>
    </row>
    <row r="6" spans="1:11" x14ac:dyDescent="0.3">
      <c r="A6" s="3" t="s">
        <v>0</v>
      </c>
      <c r="B6" s="3" t="s">
        <v>10</v>
      </c>
      <c r="C6" s="3" t="s">
        <v>9</v>
      </c>
      <c r="D6" s="3">
        <v>200</v>
      </c>
      <c r="E6" s="3">
        <v>25</v>
      </c>
      <c r="F6" s="4">
        <v>250</v>
      </c>
      <c r="G6" s="3">
        <v>199</v>
      </c>
      <c r="H6" s="4" t="s">
        <v>30</v>
      </c>
      <c r="I6" s="3">
        <v>0</v>
      </c>
      <c r="J6" s="3">
        <v>1000</v>
      </c>
      <c r="K6" s="3">
        <f>F6</f>
        <v>250</v>
      </c>
    </row>
    <row r="7" spans="1:11" x14ac:dyDescent="0.3">
      <c r="A7" s="2"/>
      <c r="B7" s="3"/>
      <c r="C7" s="3"/>
      <c r="D7" s="3"/>
      <c r="E7" s="3"/>
      <c r="F7" s="3"/>
      <c r="G7" s="2"/>
      <c r="H7" s="2"/>
      <c r="I7" s="2"/>
      <c r="J7" s="2"/>
      <c r="K7" s="2"/>
    </row>
    <row r="8" spans="1:11" x14ac:dyDescent="0.3">
      <c r="A8" s="4" t="s">
        <v>0</v>
      </c>
      <c r="B8" s="4" t="s">
        <v>2</v>
      </c>
      <c r="C8" s="4" t="s">
        <v>12</v>
      </c>
      <c r="D8" s="4">
        <v>200</v>
      </c>
      <c r="E8" s="4">
        <v>10</v>
      </c>
      <c r="F8" s="4">
        <v>-100</v>
      </c>
      <c r="G8" s="4">
        <v>190</v>
      </c>
      <c r="H8" s="4" t="s">
        <v>29</v>
      </c>
      <c r="I8" s="4">
        <v>10</v>
      </c>
      <c r="J8" s="4">
        <f>10 * 100</f>
        <v>1000</v>
      </c>
      <c r="K8" s="4">
        <f>I8*J8 + F8</f>
        <v>9900</v>
      </c>
    </row>
    <row r="9" spans="1:11" x14ac:dyDescent="0.3">
      <c r="A9" s="4" t="s">
        <v>0</v>
      </c>
      <c r="B9" s="4" t="s">
        <v>2</v>
      </c>
      <c r="C9" s="4" t="s">
        <v>12</v>
      </c>
      <c r="D9" s="4">
        <v>200</v>
      </c>
      <c r="E9" s="4">
        <v>10</v>
      </c>
      <c r="F9" s="4">
        <v>-100</v>
      </c>
      <c r="G9" s="4">
        <v>205</v>
      </c>
      <c r="H9" s="4" t="s">
        <v>30</v>
      </c>
      <c r="I9" s="4">
        <v>0</v>
      </c>
      <c r="J9" s="4"/>
      <c r="K9" s="4">
        <f>F9</f>
        <v>-100</v>
      </c>
    </row>
    <row r="10" spans="1:11" x14ac:dyDescent="0.3">
      <c r="A10" s="2"/>
      <c r="B10" s="3"/>
      <c r="C10" s="3"/>
      <c r="D10" s="3"/>
      <c r="E10" s="3"/>
      <c r="F10" s="3"/>
      <c r="G10" s="2"/>
      <c r="H10" s="2"/>
      <c r="I10" s="2"/>
      <c r="J10" s="2"/>
      <c r="K10" s="2"/>
    </row>
    <row r="11" spans="1:11" x14ac:dyDescent="0.3">
      <c r="A11" s="4" t="s">
        <v>0</v>
      </c>
      <c r="B11" s="3" t="s">
        <v>10</v>
      </c>
      <c r="C11" s="4" t="s">
        <v>12</v>
      </c>
      <c r="D11" s="4">
        <v>200</v>
      </c>
      <c r="E11" s="3">
        <v>25</v>
      </c>
      <c r="F11" s="4">
        <v>250</v>
      </c>
      <c r="G11" s="4">
        <v>190</v>
      </c>
      <c r="H11" s="4" t="s">
        <v>29</v>
      </c>
      <c r="I11" s="4">
        <v>-10</v>
      </c>
      <c r="J11" s="4">
        <f>10 * 100</f>
        <v>1000</v>
      </c>
      <c r="K11" s="4">
        <f>J11*I11 + F11</f>
        <v>-9750</v>
      </c>
    </row>
    <row r="12" spans="1:11" x14ac:dyDescent="0.3">
      <c r="A12" s="4" t="s">
        <v>0</v>
      </c>
      <c r="B12" s="3" t="s">
        <v>10</v>
      </c>
      <c r="C12" s="4" t="s">
        <v>12</v>
      </c>
      <c r="D12" s="4">
        <v>200</v>
      </c>
      <c r="E12" s="3">
        <v>25</v>
      </c>
      <c r="F12" s="4">
        <v>250</v>
      </c>
      <c r="G12" s="4">
        <v>205</v>
      </c>
      <c r="H12" s="4" t="s">
        <v>30</v>
      </c>
      <c r="I12" s="4">
        <v>0</v>
      </c>
      <c r="J12" s="4">
        <v>1000</v>
      </c>
      <c r="K12" s="4">
        <f>F12</f>
        <v>250</v>
      </c>
    </row>
    <row r="13" spans="1:11" x14ac:dyDescent="0.3">
      <c r="A13" s="2"/>
      <c r="B13" s="3"/>
      <c r="C13" s="3"/>
      <c r="D13" s="3"/>
      <c r="E13" s="3"/>
      <c r="F13" s="3"/>
      <c r="G13" s="2"/>
      <c r="H13" s="2"/>
      <c r="I13" s="2"/>
      <c r="J13" s="2"/>
      <c r="K13" s="2"/>
    </row>
    <row r="14" spans="1:11" x14ac:dyDescent="0.3">
      <c r="A14" s="2"/>
      <c r="B14" s="3"/>
      <c r="C14" s="3"/>
      <c r="D14" s="3"/>
      <c r="E14" s="3"/>
      <c r="F14" s="3"/>
      <c r="G14" s="2"/>
      <c r="H14" s="2"/>
      <c r="I14" s="2"/>
      <c r="J14" s="2"/>
      <c r="K14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D9B9-D408-44C6-86D9-3A8C58BAD4E8}">
  <dimension ref="A1:J14"/>
  <sheetViews>
    <sheetView zoomScale="110" zoomScaleNormal="110" workbookViewId="0">
      <selection activeCell="F10" sqref="F10"/>
    </sheetView>
  </sheetViews>
  <sheetFormatPr defaultRowHeight="14.4" x14ac:dyDescent="0.3"/>
  <cols>
    <col min="1" max="1" width="20.109375" bestFit="1" customWidth="1"/>
    <col min="2" max="2" width="12.21875" style="1" bestFit="1" customWidth="1"/>
    <col min="4" max="4" width="11.5546875" bestFit="1" customWidth="1"/>
    <col min="5" max="6" width="15.109375" bestFit="1" customWidth="1"/>
    <col min="8" max="8" width="11.6640625" bestFit="1" customWidth="1"/>
    <col min="9" max="10" width="15.109375" bestFit="1" customWidth="1"/>
  </cols>
  <sheetData>
    <row r="1" spans="1:10" x14ac:dyDescent="0.3">
      <c r="A1" s="9" t="s">
        <v>15</v>
      </c>
      <c r="B1" s="10">
        <v>10000000</v>
      </c>
    </row>
    <row r="2" spans="1:10" x14ac:dyDescent="0.3">
      <c r="A2" s="9" t="s">
        <v>16</v>
      </c>
      <c r="B2" s="11">
        <v>3.5000000000000003E-2</v>
      </c>
      <c r="H2" t="s">
        <v>31</v>
      </c>
    </row>
    <row r="3" spans="1:10" x14ac:dyDescent="0.3">
      <c r="A3" s="9" t="s">
        <v>17</v>
      </c>
      <c r="B3" s="11">
        <v>0.03</v>
      </c>
    </row>
    <row r="4" spans="1:10" x14ac:dyDescent="0.3">
      <c r="D4" s="40" t="s">
        <v>18</v>
      </c>
      <c r="E4" s="41"/>
      <c r="F4" s="42"/>
      <c r="H4" s="40" t="s">
        <v>19</v>
      </c>
      <c r="I4" s="41"/>
      <c r="J4" s="42"/>
    </row>
    <row r="5" spans="1:10" x14ac:dyDescent="0.3">
      <c r="A5" s="40" t="s">
        <v>20</v>
      </c>
      <c r="B5" s="42"/>
      <c r="D5" s="9" t="s">
        <v>21</v>
      </c>
      <c r="E5" s="12" t="s">
        <v>22</v>
      </c>
      <c r="F5" s="13" t="s">
        <v>23</v>
      </c>
      <c r="H5" s="9" t="s">
        <v>21</v>
      </c>
      <c r="I5" s="13" t="s">
        <v>22</v>
      </c>
      <c r="J5" s="9" t="s">
        <v>23</v>
      </c>
    </row>
    <row r="6" spans="1:10" x14ac:dyDescent="0.3">
      <c r="A6" s="12" t="s">
        <v>21</v>
      </c>
      <c r="B6" s="13" t="s">
        <v>24</v>
      </c>
      <c r="D6" s="3">
        <v>0.5</v>
      </c>
      <c r="E6" s="14">
        <f>(B2/2) * B1</f>
        <v>175000.00000000003</v>
      </c>
      <c r="F6" s="14">
        <f>E6/(1+B7)^D6</f>
        <v>172432.62367875132</v>
      </c>
      <c r="H6" s="3">
        <v>0.5</v>
      </c>
      <c r="I6" s="14">
        <f>(B3/2) * B1 + B1</f>
        <v>10150000</v>
      </c>
      <c r="J6" s="14">
        <f>I6/(1+B7)^H6</f>
        <v>10001092.173367575</v>
      </c>
    </row>
    <row r="7" spans="1:10" x14ac:dyDescent="0.3">
      <c r="A7" s="3">
        <v>0.5</v>
      </c>
      <c r="B7" s="11">
        <v>0.03</v>
      </c>
      <c r="D7" s="3">
        <v>1</v>
      </c>
      <c r="E7" s="14">
        <f>(B2/2) * B1</f>
        <v>175000.00000000003</v>
      </c>
      <c r="F7" s="14">
        <f t="shared" ref="F7:F8" si="0">E7/(1+B8)^D7</f>
        <v>168269.23076923078</v>
      </c>
      <c r="H7" s="3">
        <v>1</v>
      </c>
      <c r="I7" s="2"/>
      <c r="J7" s="2"/>
    </row>
    <row r="8" spans="1:10" x14ac:dyDescent="0.3">
      <c r="A8" s="3">
        <v>1</v>
      </c>
      <c r="B8" s="11">
        <v>0.04</v>
      </c>
      <c r="D8" s="3">
        <v>1.5</v>
      </c>
      <c r="E8" s="14">
        <f>(B2/2) * B1</f>
        <v>175000.00000000003</v>
      </c>
      <c r="F8" s="14">
        <f t="shared" si="0"/>
        <v>165001.5560056837</v>
      </c>
      <c r="H8" s="3">
        <v>1.5</v>
      </c>
      <c r="I8" s="2"/>
      <c r="J8" s="2"/>
    </row>
    <row r="9" spans="1:10" x14ac:dyDescent="0.3">
      <c r="A9" s="3">
        <v>1.5</v>
      </c>
      <c r="B9" s="11">
        <v>0.04</v>
      </c>
      <c r="D9" s="3">
        <v>2</v>
      </c>
      <c r="E9" s="14">
        <f>(B2/2) * B1 + B1</f>
        <v>10175000</v>
      </c>
      <c r="F9" s="14">
        <f>E9/(1+B10)^D9</f>
        <v>9317552.253840344</v>
      </c>
      <c r="H9" s="3">
        <v>2</v>
      </c>
      <c r="I9" s="2"/>
      <c r="J9" s="2"/>
    </row>
    <row r="10" spans="1:10" x14ac:dyDescent="0.3">
      <c r="A10" s="3">
        <v>2</v>
      </c>
      <c r="B10" s="11">
        <v>4.4999999999999998E-2</v>
      </c>
      <c r="D10" s="15"/>
      <c r="E10" s="16"/>
      <c r="F10" s="17">
        <f>SUM(F6:F9)</f>
        <v>9823255.66429401</v>
      </c>
      <c r="H10" s="15"/>
      <c r="I10" s="16"/>
      <c r="J10" s="17">
        <f>SUM(J6:J9)</f>
        <v>10001092.173367575</v>
      </c>
    </row>
    <row r="12" spans="1:10" x14ac:dyDescent="0.3">
      <c r="A12" s="9" t="s">
        <v>25</v>
      </c>
      <c r="B12" s="13" t="s">
        <v>26</v>
      </c>
    </row>
    <row r="13" spans="1:10" ht="28.8" x14ac:dyDescent="0.3">
      <c r="A13" s="18" t="s">
        <v>27</v>
      </c>
      <c r="B13" s="19">
        <f>J10-F10</f>
        <v>177836.50907356478</v>
      </c>
    </row>
    <row r="14" spans="1:10" ht="28.8" x14ac:dyDescent="0.3">
      <c r="A14" s="18" t="s">
        <v>28</v>
      </c>
      <c r="B14" s="19">
        <f>F10-J10</f>
        <v>-177836.50907356478</v>
      </c>
    </row>
  </sheetData>
  <mergeCells count="3">
    <mergeCell ref="D4:F4"/>
    <mergeCell ref="H4:J4"/>
    <mergeCell ref="A5:B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010E0-8EBE-487B-A79A-44C69D5DFA9A}">
  <dimension ref="A1:D11"/>
  <sheetViews>
    <sheetView zoomScale="145" zoomScaleNormal="145" workbookViewId="0">
      <selection activeCell="B16" sqref="B16"/>
    </sheetView>
  </sheetViews>
  <sheetFormatPr defaultRowHeight="14.4" x14ac:dyDescent="0.3"/>
  <cols>
    <col min="1" max="1" width="34.21875" style="22" bestFit="1" customWidth="1"/>
    <col min="2" max="2" width="26.33203125" style="23" customWidth="1"/>
    <col min="3" max="3" width="17.44140625" bestFit="1" customWidth="1"/>
    <col min="4" max="4" width="11.77734375" style="22" bestFit="1" customWidth="1"/>
    <col min="5" max="5" width="11.33203125" bestFit="1" customWidth="1"/>
  </cols>
  <sheetData>
    <row r="1" spans="1:4" x14ac:dyDescent="0.3">
      <c r="A1" s="36" t="s">
        <v>45</v>
      </c>
      <c r="B1" s="34" t="s">
        <v>34</v>
      </c>
    </row>
    <row r="2" spans="1:4" x14ac:dyDescent="0.3">
      <c r="A2" s="36" t="s">
        <v>32</v>
      </c>
      <c r="B2" s="37">
        <v>1000000</v>
      </c>
    </row>
    <row r="3" spans="1:4" x14ac:dyDescent="0.3">
      <c r="A3" s="36" t="s">
        <v>33</v>
      </c>
      <c r="B3" s="35">
        <v>0.06</v>
      </c>
    </row>
    <row r="4" spans="1:4" x14ac:dyDescent="0.3">
      <c r="A4" s="36" t="s">
        <v>46</v>
      </c>
      <c r="B4" s="34" t="s">
        <v>35</v>
      </c>
    </row>
    <row r="5" spans="1:4" x14ac:dyDescent="0.3">
      <c r="A5" s="36" t="s">
        <v>36</v>
      </c>
      <c r="B5" s="34" t="s">
        <v>37</v>
      </c>
    </row>
    <row r="8" spans="1:4" x14ac:dyDescent="0.3">
      <c r="B8" s="39" t="s">
        <v>40</v>
      </c>
      <c r="C8" s="20" t="s">
        <v>38</v>
      </c>
      <c r="D8" s="21">
        <v>0.01</v>
      </c>
    </row>
    <row r="9" spans="1:4" x14ac:dyDescent="0.3">
      <c r="B9" s="39" t="s">
        <v>41</v>
      </c>
      <c r="C9" s="20" t="s">
        <v>39</v>
      </c>
      <c r="D9" s="38">
        <f>D8*B2</f>
        <v>10000</v>
      </c>
    </row>
    <row r="10" spans="1:4" x14ac:dyDescent="0.3">
      <c r="B10" s="39" t="s">
        <v>42</v>
      </c>
      <c r="C10" s="20" t="s">
        <v>43</v>
      </c>
      <c r="D10" s="38">
        <f>(90/360) * D9</f>
        <v>2500</v>
      </c>
    </row>
    <row r="11" spans="1:4" x14ac:dyDescent="0.3">
      <c r="B11" s="39" t="s">
        <v>44</v>
      </c>
      <c r="C11" s="20" t="s">
        <v>47</v>
      </c>
      <c r="D11" s="38">
        <f>D10 / (1+(0.07/4))</f>
        <v>2457.002457002457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A547-5B33-4366-A2C1-297F16EE5A86}">
  <dimension ref="A1:D6"/>
  <sheetViews>
    <sheetView tabSelected="1" zoomScale="145" zoomScaleNormal="145" workbookViewId="0">
      <selection activeCell="C11" sqref="C11"/>
    </sheetView>
  </sheetViews>
  <sheetFormatPr defaultRowHeight="14.4" x14ac:dyDescent="0.3"/>
  <cols>
    <col min="1" max="1" width="11.109375" style="32" bestFit="1" customWidth="1"/>
    <col min="2" max="2" width="12.33203125" bestFit="1" customWidth="1"/>
    <col min="3" max="3" width="43" style="31" customWidth="1"/>
    <col min="4" max="4" width="73.6640625" customWidth="1"/>
  </cols>
  <sheetData>
    <row r="1" spans="1:4" s="1" customFormat="1" x14ac:dyDescent="0.3">
      <c r="A1" s="6" t="s">
        <v>48</v>
      </c>
      <c r="B1" s="25" t="s">
        <v>51</v>
      </c>
      <c r="C1" s="27" t="s">
        <v>55</v>
      </c>
      <c r="D1" s="25" t="s">
        <v>56</v>
      </c>
    </row>
    <row r="2" spans="1:4" ht="28.8" x14ac:dyDescent="0.3">
      <c r="A2" s="24" t="s">
        <v>49</v>
      </c>
      <c r="B2" s="18" t="s">
        <v>59</v>
      </c>
      <c r="C2" s="28" t="s">
        <v>58</v>
      </c>
      <c r="D2" s="26" t="s">
        <v>57</v>
      </c>
    </row>
    <row r="3" spans="1:4" ht="57.6" x14ac:dyDescent="0.3">
      <c r="A3" s="24" t="s">
        <v>50</v>
      </c>
      <c r="B3" s="2"/>
      <c r="C3" s="33" t="s">
        <v>60</v>
      </c>
      <c r="D3" s="18" t="s">
        <v>61</v>
      </c>
    </row>
    <row r="4" spans="1:4" s="31" customFormat="1" ht="43.2" x14ac:dyDescent="0.3">
      <c r="A4" s="29" t="s">
        <v>52</v>
      </c>
      <c r="B4" s="29"/>
      <c r="C4" s="30" t="s">
        <v>62</v>
      </c>
      <c r="D4" s="30" t="s">
        <v>63</v>
      </c>
    </row>
    <row r="5" spans="1:4" ht="28.8" x14ac:dyDescent="0.3">
      <c r="A5" s="24" t="s">
        <v>53</v>
      </c>
      <c r="B5" s="2"/>
      <c r="C5" s="30" t="s">
        <v>64</v>
      </c>
      <c r="D5" s="18" t="s">
        <v>65</v>
      </c>
    </row>
    <row r="6" spans="1:4" ht="30.6" customHeight="1" x14ac:dyDescent="0.3">
      <c r="A6" s="24" t="s">
        <v>54</v>
      </c>
      <c r="B6" s="2"/>
      <c r="C6" s="30" t="s">
        <v>66</v>
      </c>
      <c r="D6" s="30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Call_Put_Example</vt:lpstr>
      <vt:lpstr>Interest_Rate_Swaps</vt:lpstr>
      <vt:lpstr>Forward_Rate_Agreement</vt:lpstr>
      <vt:lpstr>Greeks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Kansal</dc:creator>
  <cp:lastModifiedBy>Sachin Kansal</cp:lastModifiedBy>
  <dcterms:created xsi:type="dcterms:W3CDTF">2015-06-05T18:17:20Z</dcterms:created>
  <dcterms:modified xsi:type="dcterms:W3CDTF">2024-12-17T07:45:50Z</dcterms:modified>
</cp:coreProperties>
</file>